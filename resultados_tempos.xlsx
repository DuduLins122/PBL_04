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_tempos" sheetId="1" state="visible" r:id="rId3"/>
    <sheet name="Medias" sheetId="2" state="visible" r:id="rId4"/>
    <sheet name="resultados_tempos_2" sheetId="3" state="visible" r:id="rId5"/>
    <sheet name="resultados_tempos_3" sheetId="4" state="visible" r:id="rId6"/>
    <sheet name="resultados_tempos_4" sheetId="5" state="visible" r:id="rId7"/>
  </sheets>
  <definedNames>
    <definedName function="false" hidden="false" localSheetId="0" name="_xlnm.Print_Area" vbProcedure="false">resultados_tempos!$1:$1048576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<sst xmlns="http://schemas.openxmlformats.org/spreadsheetml/2006/main" count="82" uniqueCount="15">
  <si>
    <t xml:space="preserve">Quantidade de Amostras: </t>
  </si>
  <si>
    <t xml:space="preserve">Conjunto</t>
  </si>
  <si>
    <t xml:space="preserve">bubble</t>
  </si>
  <si>
    <t xml:space="preserve">insertion</t>
  </si>
  <si>
    <t xml:space="preserve">quick</t>
  </si>
  <si>
    <t xml:space="preserve">aleatorio</t>
  </si>
  <si>
    <t xml:space="preserve">crescente</t>
  </si>
  <si>
    <t xml:space="preserve">decrescente</t>
  </si>
  <si>
    <t xml:space="preserve">1K</t>
  </si>
  <si>
    <t xml:space="preserve">10K</t>
  </si>
  <si>
    <t xml:space="preserve">conjunto</t>
  </si>
  <si>
    <t xml:space="preserve">tamanho</t>
  </si>
  <si>
    <t xml:space="preserve">bubble_ms</t>
  </si>
  <si>
    <t xml:space="preserve">insertion_ms</t>
  </si>
  <si>
    <t xml:space="preserve">quick_ms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</si>
</sst>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13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DDDDD"/>
        <bgColor rgb="FFB4C7DC"/>
      </patternFill>
    </fill>
    <fill>
      <patternFill patternType="solid">
        <fgColor rgb="FFFFFFFF"/>
        <bgColor rgb="FFFFFFCC"/>
      </patternFill>
    </fill>
    <fill>
      <patternFill patternType="solid">
        <fgColor rgb="FF729FCF"/>
        <bgColor rgb="FF808080"/>
      </patternFill>
    </fill>
    <fill>
      <patternFill patternType="solid">
        <fgColor rgb="FFFF3838"/>
        <bgColor rgb="FFFF420E"/>
      </patternFill>
    </fill>
    <fill>
      <patternFill patternType="solid">
        <fgColor rgb="FFFFFF00"/>
        <bgColor rgb="FFFFFF00"/>
      </patternFill>
    </fill>
    <fill>
      <patternFill patternType="solid">
        <fgColor rgb="FFB4C7DC"/>
        <bgColor rgb="FF99CCFF"/>
      </patternFill>
    </fill>
    <fill>
      <patternFill patternType="solid">
        <fgColor rgb="FFFFAA95"/>
        <bgColor rgb="FFFFCC99"/>
      </patternFill>
    </fill>
    <fill>
      <patternFill patternType="solid">
        <fgColor rgb="FFFFFFA6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7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383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AA95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Tamanho: 100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resultados_tempos!$C$14</c:f>
              <c:strCache>
                <c:ptCount val="1"/>
                <c:pt idx="0">
                  <c:v>bubble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resultados_tempos!$B$15:$B$17</c:f>
              <c:strCache>
                <c:ptCount val="3"/>
                <c:pt idx="0">
                  <c:v>aleatorio</c:v>
                </c:pt>
                <c:pt idx="1">
                  <c:v>crescente</c:v>
                </c:pt>
                <c:pt idx="2">
                  <c:v>decrescente</c:v>
                </c:pt>
              </c:strCache>
            </c:strRef>
          </c:cat>
          <c:val>
            <c:numRef>
              <c:f>resultados_tempos!$C$15:$C$17</c:f>
              <c:numCache>
                <c:formatCode>0</c:formatCode>
                <c:ptCount val="3"/>
                <c:pt idx="0">
                  <c:v>197579.666666667</c:v>
                </c:pt>
                <c:pt idx="1">
                  <c:v>1005.66666666667</c:v>
                </c:pt>
                <c:pt idx="2">
                  <c:v>16975.3333333333</c:v>
                </c:pt>
              </c:numCache>
            </c:numRef>
          </c:val>
        </c:ser>
        <c:ser>
          <c:idx val="1"/>
          <c:order val="1"/>
          <c:tx>
            <c:strRef>
              <c:f>resultados_tempos!$D$14</c:f>
              <c:strCache>
                <c:ptCount val="1"/>
                <c:pt idx="0">
                  <c:v>insertion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resultados_tempos!$B$15:$B$17</c:f>
              <c:strCache>
                <c:ptCount val="3"/>
                <c:pt idx="0">
                  <c:v>aleatorio</c:v>
                </c:pt>
                <c:pt idx="1">
                  <c:v>crescente</c:v>
                </c:pt>
                <c:pt idx="2">
                  <c:v>decrescente</c:v>
                </c:pt>
              </c:strCache>
            </c:strRef>
          </c:cat>
          <c:val>
            <c:numRef>
              <c:f>resultados_tempos!$D$15:$D$17</c:f>
              <c:numCache>
                <c:formatCode>0</c:formatCode>
                <c:ptCount val="3"/>
                <c:pt idx="0">
                  <c:v>66599.6666666667</c:v>
                </c:pt>
                <c:pt idx="1">
                  <c:v>14257.3333333333</c:v>
                </c:pt>
                <c:pt idx="2">
                  <c:v>2761.66666666667</c:v>
                </c:pt>
              </c:numCache>
            </c:numRef>
          </c:val>
        </c:ser>
        <c:ser>
          <c:idx val="2"/>
          <c:order val="2"/>
          <c:tx>
            <c:strRef>
              <c:f>resultados_tempos!$E$14</c:f>
              <c:strCache>
                <c:ptCount val="1"/>
                <c:pt idx="0">
                  <c:v>quick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resultados_tempos!$B$15:$B$17</c:f>
              <c:strCache>
                <c:ptCount val="3"/>
                <c:pt idx="0">
                  <c:v>aleatorio</c:v>
                </c:pt>
                <c:pt idx="1">
                  <c:v>crescente</c:v>
                </c:pt>
                <c:pt idx="2">
                  <c:v>decrescente</c:v>
                </c:pt>
              </c:strCache>
            </c:strRef>
          </c:cat>
          <c:val>
            <c:numRef>
              <c:f>resultados_tempos!$E$15:$E$17</c:f>
              <c:numCache>
                <c:formatCode>0</c:formatCode>
                <c:ptCount val="3"/>
                <c:pt idx="0">
                  <c:v>36231.6666666667</c:v>
                </c:pt>
                <c:pt idx="1">
                  <c:v>17967</c:v>
                </c:pt>
                <c:pt idx="2">
                  <c:v>6054.66666666667</c:v>
                </c:pt>
              </c:numCache>
            </c:numRef>
          </c:val>
        </c:ser>
        <c:gapWidth val="100"/>
        <c:overlap val="0"/>
        <c:axId val="56251949"/>
        <c:axId val="44926935"/>
      </c:barChart>
      <c:catAx>
        <c:axId val="562519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Ordem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4926935"/>
        <c:crosses val="autoZero"/>
        <c:auto val="1"/>
        <c:lblAlgn val="ctr"/>
        <c:lblOffset val="100"/>
        <c:noMultiLvlLbl val="0"/>
      </c:catAx>
      <c:valAx>
        <c:axId val="449269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Tempo (ns)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625194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Tamanho: 1k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resultados_tempos!$C$20</c:f>
              <c:strCache>
                <c:ptCount val="1"/>
                <c:pt idx="0">
                  <c:v>bubble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resultados_tempos!$B$21:$B$23</c:f>
              <c:strCache>
                <c:ptCount val="3"/>
                <c:pt idx="0">
                  <c:v>aleatorio</c:v>
                </c:pt>
                <c:pt idx="1">
                  <c:v>crescente</c:v>
                </c:pt>
                <c:pt idx="2">
                  <c:v>decrescente</c:v>
                </c:pt>
              </c:strCache>
            </c:strRef>
          </c:cat>
          <c:val>
            <c:numRef>
              <c:f>resultados_tempos!$C$21:$C$23</c:f>
              <c:numCache>
                <c:formatCode>0</c:formatCode>
                <c:ptCount val="3"/>
                <c:pt idx="0">
                  <c:v>3961715.66666667</c:v>
                </c:pt>
                <c:pt idx="1">
                  <c:v>594.333333333333</c:v>
                </c:pt>
                <c:pt idx="2">
                  <c:v>1556886.66666667</c:v>
                </c:pt>
              </c:numCache>
            </c:numRef>
          </c:val>
        </c:ser>
        <c:ser>
          <c:idx val="1"/>
          <c:order val="1"/>
          <c:tx>
            <c:strRef>
              <c:f>resultados_tempos!$D$20</c:f>
              <c:strCache>
                <c:ptCount val="1"/>
                <c:pt idx="0">
                  <c:v>insertion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resultados_tempos!$B$21:$B$23</c:f>
              <c:strCache>
                <c:ptCount val="3"/>
                <c:pt idx="0">
                  <c:v>aleatorio</c:v>
                </c:pt>
                <c:pt idx="1">
                  <c:v>crescente</c:v>
                </c:pt>
                <c:pt idx="2">
                  <c:v>decrescente</c:v>
                </c:pt>
              </c:strCache>
            </c:strRef>
          </c:cat>
          <c:val>
            <c:numRef>
              <c:f>resultados_tempos!$D$21:$D$23</c:f>
              <c:numCache>
                <c:formatCode>0</c:formatCode>
                <c:ptCount val="3"/>
                <c:pt idx="0">
                  <c:v>2006573.33333333</c:v>
                </c:pt>
                <c:pt idx="1">
                  <c:v>37343.6666666667</c:v>
                </c:pt>
                <c:pt idx="2">
                  <c:v>94084.3333333333</c:v>
                </c:pt>
              </c:numCache>
            </c:numRef>
          </c:val>
        </c:ser>
        <c:ser>
          <c:idx val="2"/>
          <c:order val="2"/>
          <c:tx>
            <c:strRef>
              <c:f>resultados_tempos!$E$20</c:f>
              <c:strCache>
                <c:ptCount val="1"/>
                <c:pt idx="0">
                  <c:v>quick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resultados_tempos!$B$21:$B$23</c:f>
              <c:strCache>
                <c:ptCount val="3"/>
                <c:pt idx="0">
                  <c:v>aleatorio</c:v>
                </c:pt>
                <c:pt idx="1">
                  <c:v>crescente</c:v>
                </c:pt>
                <c:pt idx="2">
                  <c:v>decrescente</c:v>
                </c:pt>
              </c:strCache>
            </c:strRef>
          </c:cat>
          <c:val>
            <c:numRef>
              <c:f>resultados_tempos!$E$21:$E$23</c:f>
              <c:numCache>
                <c:formatCode>0</c:formatCode>
                <c:ptCount val="3"/>
                <c:pt idx="0">
                  <c:v>336242.666666667</c:v>
                </c:pt>
                <c:pt idx="1">
                  <c:v>1008560</c:v>
                </c:pt>
                <c:pt idx="2">
                  <c:v>262292</c:v>
                </c:pt>
              </c:numCache>
            </c:numRef>
          </c:val>
        </c:ser>
        <c:gapWidth val="100"/>
        <c:overlap val="0"/>
        <c:axId val="61910699"/>
        <c:axId val="65529463"/>
      </c:barChart>
      <c:catAx>
        <c:axId val="619106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Ordem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5529463"/>
        <c:crosses val="autoZero"/>
        <c:auto val="1"/>
        <c:lblAlgn val="ctr"/>
        <c:lblOffset val="100"/>
        <c:noMultiLvlLbl val="0"/>
      </c:catAx>
      <c:valAx>
        <c:axId val="655294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Tempo (ns)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191069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Tamanho: 10k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resultados_tempos!$C$26</c:f>
              <c:strCache>
                <c:ptCount val="1"/>
                <c:pt idx="0">
                  <c:v>bubble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resultados_tempos!$B$27:$B$29</c:f>
              <c:strCache>
                <c:ptCount val="3"/>
                <c:pt idx="0">
                  <c:v>aleatorio</c:v>
                </c:pt>
                <c:pt idx="1">
                  <c:v>crescente</c:v>
                </c:pt>
                <c:pt idx="2">
                  <c:v>decrescente</c:v>
                </c:pt>
              </c:strCache>
            </c:strRef>
          </c:cat>
          <c:val>
            <c:numRef>
              <c:f>resultados_tempos!$C$27:$C$29</c:f>
              <c:numCache>
                <c:formatCode>0</c:formatCode>
                <c:ptCount val="3"/>
                <c:pt idx="0">
                  <c:v>45434194</c:v>
                </c:pt>
                <c:pt idx="1">
                  <c:v>2845.33333333333</c:v>
                </c:pt>
                <c:pt idx="2">
                  <c:v>40997974.6666667</c:v>
                </c:pt>
              </c:numCache>
            </c:numRef>
          </c:val>
        </c:ser>
        <c:ser>
          <c:idx val="1"/>
          <c:order val="1"/>
          <c:tx>
            <c:strRef>
              <c:f>resultados_tempos!$D$26</c:f>
              <c:strCache>
                <c:ptCount val="1"/>
                <c:pt idx="0">
                  <c:v>insertion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resultados_tempos!$B$27:$B$29</c:f>
              <c:strCache>
                <c:ptCount val="3"/>
                <c:pt idx="0">
                  <c:v>aleatorio</c:v>
                </c:pt>
                <c:pt idx="1">
                  <c:v>crescente</c:v>
                </c:pt>
                <c:pt idx="2">
                  <c:v>decrescente</c:v>
                </c:pt>
              </c:strCache>
            </c:strRef>
          </c:cat>
          <c:val>
            <c:numRef>
              <c:f>resultados_tempos!$D$27:$D$29</c:f>
              <c:numCache>
                <c:formatCode>0</c:formatCode>
                <c:ptCount val="3"/>
                <c:pt idx="0">
                  <c:v>16939893</c:v>
                </c:pt>
                <c:pt idx="1">
                  <c:v>39608</c:v>
                </c:pt>
                <c:pt idx="2">
                  <c:v>8983235</c:v>
                </c:pt>
              </c:numCache>
            </c:numRef>
          </c:val>
        </c:ser>
        <c:ser>
          <c:idx val="2"/>
          <c:order val="2"/>
          <c:tx>
            <c:strRef>
              <c:f>resultados_tempos!$E$26</c:f>
              <c:strCache>
                <c:ptCount val="1"/>
                <c:pt idx="0">
                  <c:v>quick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resultados_tempos!$B$27:$B$29</c:f>
              <c:strCache>
                <c:ptCount val="3"/>
                <c:pt idx="0">
                  <c:v>aleatorio</c:v>
                </c:pt>
                <c:pt idx="1">
                  <c:v>crescente</c:v>
                </c:pt>
                <c:pt idx="2">
                  <c:v>decrescente</c:v>
                </c:pt>
              </c:strCache>
            </c:strRef>
          </c:cat>
          <c:val>
            <c:numRef>
              <c:f>resultados_tempos!$E$27:$E$29</c:f>
              <c:numCache>
                <c:formatCode>0</c:formatCode>
                <c:ptCount val="3"/>
                <c:pt idx="0">
                  <c:v>790427.333333333</c:v>
                </c:pt>
                <c:pt idx="1">
                  <c:v>37459979.6666667</c:v>
                </c:pt>
                <c:pt idx="2">
                  <c:v>25681377.3333333</c:v>
                </c:pt>
              </c:numCache>
            </c:numRef>
          </c:val>
        </c:ser>
        <c:gapWidth val="100"/>
        <c:overlap val="0"/>
        <c:axId val="84628151"/>
        <c:axId val="57006658"/>
      </c:barChart>
      <c:catAx>
        <c:axId val="846281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Ordem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7006658"/>
        <c:crosses val="autoZero"/>
        <c:auto val="1"/>
        <c:lblAlgn val="ctr"/>
        <c:lblOffset val="100"/>
        <c:noMultiLvlLbl val="0"/>
      </c:catAx>
      <c:valAx>
        <c:axId val="570066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Tempo (ns)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462815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Zoom Tamanho 10k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resultados_tempos!$B$28</c:f>
              <c:strCache>
                <c:ptCount val="1"/>
                <c:pt idx="0">
                  <c:v>crescente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resultados_tempos!$C$26:$D$26</c:f>
              <c:strCache>
                <c:ptCount val="2"/>
                <c:pt idx="0">
                  <c:v>bubble</c:v>
                </c:pt>
                <c:pt idx="1">
                  <c:v>insertion</c:v>
                </c:pt>
              </c:strCache>
            </c:strRef>
          </c:cat>
          <c:val>
            <c:numRef>
              <c:f>resultados_tempos!$C$28:$D$28</c:f>
              <c:numCache>
                <c:formatCode>0</c:formatCode>
                <c:ptCount val="2"/>
                <c:pt idx="0">
                  <c:v>2845.33333333333</c:v>
                </c:pt>
                <c:pt idx="1">
                  <c:v>39608</c:v>
                </c:pt>
              </c:numCache>
            </c:numRef>
          </c:val>
        </c:ser>
        <c:gapWidth val="100"/>
        <c:overlap val="0"/>
        <c:axId val="57098140"/>
        <c:axId val="89672849"/>
      </c:barChart>
      <c:catAx>
        <c:axId val="570981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Ordem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9672849"/>
        <c:crosses val="autoZero"/>
        <c:auto val="1"/>
        <c:lblAlgn val="ctr"/>
        <c:lblOffset val="100"/>
        <c:noMultiLvlLbl val="0"/>
      </c:catAx>
      <c:valAx>
        <c:axId val="896728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Tempo (ns)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709814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239040</xdr:colOff>
      <xdr:row>6</xdr:row>
      <xdr:rowOff>39960</xdr:rowOff>
    </xdr:from>
    <xdr:to>
      <xdr:col>13</xdr:col>
      <xdr:colOff>308880</xdr:colOff>
      <xdr:row>26</xdr:row>
      <xdr:rowOff>1440</xdr:rowOff>
    </xdr:to>
    <xdr:graphicFrame>
      <xdr:nvGraphicFramePr>
        <xdr:cNvPr id="1" name=""/>
        <xdr:cNvGraphicFramePr/>
      </xdr:nvGraphicFramePr>
      <xdr:xfrm>
        <a:off x="4863600" y="1015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289080</xdr:colOff>
      <xdr:row>6</xdr:row>
      <xdr:rowOff>25200</xdr:rowOff>
    </xdr:from>
    <xdr:to>
      <xdr:col>20</xdr:col>
      <xdr:colOff>359280</xdr:colOff>
      <xdr:row>25</xdr:row>
      <xdr:rowOff>176040</xdr:rowOff>
    </xdr:to>
    <xdr:graphicFrame>
      <xdr:nvGraphicFramePr>
        <xdr:cNvPr id="2" name=""/>
        <xdr:cNvGraphicFramePr/>
      </xdr:nvGraphicFramePr>
      <xdr:xfrm>
        <a:off x="10603440" y="100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245160</xdr:colOff>
      <xdr:row>25</xdr:row>
      <xdr:rowOff>119880</xdr:rowOff>
    </xdr:from>
    <xdr:to>
      <xdr:col>13</xdr:col>
      <xdr:colOff>315000</xdr:colOff>
      <xdr:row>45</xdr:row>
      <xdr:rowOff>81720</xdr:rowOff>
    </xdr:to>
    <xdr:graphicFrame>
      <xdr:nvGraphicFramePr>
        <xdr:cNvPr id="3" name=""/>
        <xdr:cNvGraphicFramePr/>
      </xdr:nvGraphicFramePr>
      <xdr:xfrm>
        <a:off x="4869720" y="41839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298800</xdr:colOff>
      <xdr:row>25</xdr:row>
      <xdr:rowOff>108000</xdr:rowOff>
    </xdr:from>
    <xdr:to>
      <xdr:col>20</xdr:col>
      <xdr:colOff>369000</xdr:colOff>
      <xdr:row>45</xdr:row>
      <xdr:rowOff>69840</xdr:rowOff>
    </xdr:to>
    <xdr:graphicFrame>
      <xdr:nvGraphicFramePr>
        <xdr:cNvPr id="4" name=""/>
        <xdr:cNvGraphicFramePr/>
      </xdr:nvGraphicFramePr>
      <xdr:xfrm>
        <a:off x="10613160" y="4172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9</xdr:col>
      <xdr:colOff>546840</xdr:colOff>
      <xdr:row>26</xdr:row>
      <xdr:rowOff>128880</xdr:rowOff>
    </xdr:from>
    <xdr:to>
      <xdr:col>14</xdr:col>
      <xdr:colOff>68040</xdr:colOff>
      <xdr:row>39</xdr:row>
      <xdr:rowOff>73800</xdr:rowOff>
    </xdr:to>
    <xdr:sp>
      <xdr:nvSpPr>
        <xdr:cNvPr id="5" name="Line 1"/>
        <xdr:cNvSpPr/>
      </xdr:nvSpPr>
      <xdr:spPr>
        <a:xfrm flipV="1">
          <a:off x="7610040" y="4382280"/>
          <a:ext cx="3585240" cy="20581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9</xdr:col>
      <xdr:colOff>676080</xdr:colOff>
      <xdr:row>43</xdr:row>
      <xdr:rowOff>73800</xdr:rowOff>
    </xdr:from>
    <xdr:to>
      <xdr:col>14</xdr:col>
      <xdr:colOff>376920</xdr:colOff>
      <xdr:row>44</xdr:row>
      <xdr:rowOff>108720</xdr:rowOff>
    </xdr:to>
    <xdr:sp>
      <xdr:nvSpPr>
        <xdr:cNvPr id="6" name="Line 2"/>
        <xdr:cNvSpPr/>
      </xdr:nvSpPr>
      <xdr:spPr>
        <a:xfrm>
          <a:off x="7739280" y="7090560"/>
          <a:ext cx="3764880" cy="19764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9</xdr:col>
      <xdr:colOff>358200</xdr:colOff>
      <xdr:row>39</xdr:row>
      <xdr:rowOff>50400</xdr:rowOff>
    </xdr:from>
    <xdr:to>
      <xdr:col>10</xdr:col>
      <xdr:colOff>185040</xdr:colOff>
      <xdr:row>43</xdr:row>
      <xdr:rowOff>68040</xdr:rowOff>
    </xdr:to>
    <xdr:sp>
      <xdr:nvSpPr>
        <xdr:cNvPr id="7" name="Shape 1"/>
        <xdr:cNvSpPr/>
      </xdr:nvSpPr>
      <xdr:spPr>
        <a:xfrm>
          <a:off x="7421400" y="6417000"/>
          <a:ext cx="639720" cy="667800"/>
        </a:xfrm>
        <a:prstGeom prst="ellipse">
          <a:avLst/>
        </a:prstGeom>
        <a:noFill/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13</xdr:col>
      <xdr:colOff>712800</xdr:colOff>
      <xdr:row>26</xdr:row>
      <xdr:rowOff>6840</xdr:rowOff>
    </xdr:from>
    <xdr:to>
      <xdr:col>19</xdr:col>
      <xdr:colOff>356040</xdr:colOff>
      <xdr:row>44</xdr:row>
      <xdr:rowOff>108720</xdr:rowOff>
    </xdr:to>
    <xdr:sp>
      <xdr:nvSpPr>
        <xdr:cNvPr id="8" name="Shape 2"/>
        <xdr:cNvSpPr/>
      </xdr:nvSpPr>
      <xdr:spPr>
        <a:xfrm>
          <a:off x="11027160" y="4260240"/>
          <a:ext cx="4520160" cy="3027960"/>
        </a:xfrm>
        <a:prstGeom prst="roundRect">
          <a:avLst>
            <a:gd name="adj" fmla="val 16667"/>
          </a:avLst>
        </a:prstGeom>
        <a:noFill/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3:F29"/>
  <sheetViews>
    <sheetView showFormulas="false" showGridLines="fals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T52" activeCellId="0" sqref="T5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12.04"/>
    <col collapsed="false" customWidth="true" hidden="false" outlineLevel="0" max="3" min="3" style="0" width="11.86"/>
    <col collapsed="false" customWidth="true" hidden="false" outlineLevel="0" max="5" min="4" style="0" width="9.36"/>
  </cols>
  <sheetData>
    <row r="13" customFormat="false" ht="12.8" hidden="false" customHeight="false" outlineLevel="0" collapsed="false">
      <c r="B13" s="1" t="s">
        <v>0</v>
      </c>
      <c r="C13" s="1"/>
      <c r="D13" s="2" t="n">
        <v>100</v>
      </c>
      <c r="E13" s="2"/>
    </row>
    <row r="14" customFormat="false" ht="12.8" hidden="false" customHeight="false" outlineLevel="0" collapsed="false">
      <c r="B14" s="3" t="s">
        <v>1</v>
      </c>
      <c r="C14" s="4" t="s">
        <v>2</v>
      </c>
      <c r="D14" s="5" t="s">
        <v>3</v>
      </c>
      <c r="E14" s="6" t="s">
        <v>4</v>
      </c>
      <c r="F14" s="7"/>
    </row>
    <row r="15" customFormat="false" ht="12.8" hidden="false" customHeight="false" outlineLevel="0" collapsed="false">
      <c r="B15" s="8" t="s">
        <v>5</v>
      </c>
      <c r="C15" s="9" t="n">
        <f aca="false">Medias!C2</f>
        <v>197579.666666667</v>
      </c>
      <c r="D15" s="10" t="n">
        <f aca="false">Medias!D2</f>
        <v>66599.6666666667</v>
      </c>
      <c r="E15" s="11" t="n">
        <f aca="false">Medias!E2</f>
        <v>36231.6666666667</v>
      </c>
    </row>
    <row r="16" customFormat="false" ht="12.8" hidden="false" customHeight="false" outlineLevel="0" collapsed="false">
      <c r="B16" s="8" t="s">
        <v>6</v>
      </c>
      <c r="C16" s="9" t="n">
        <f aca="false">Medias!C5</f>
        <v>1005.66666666667</v>
      </c>
      <c r="D16" s="10" t="n">
        <f aca="false">Medias!D5</f>
        <v>14257.3333333333</v>
      </c>
      <c r="E16" s="11" t="n">
        <f aca="false">Medias!E5</f>
        <v>17967</v>
      </c>
    </row>
    <row r="17" customFormat="false" ht="12.8" hidden="false" customHeight="false" outlineLevel="0" collapsed="false">
      <c r="B17" s="8" t="s">
        <v>7</v>
      </c>
      <c r="C17" s="9" t="n">
        <f aca="false">Medias!C8</f>
        <v>16975.3333333333</v>
      </c>
      <c r="D17" s="10" t="n">
        <f aca="false">Medias!D8</f>
        <v>2761.66666666667</v>
      </c>
      <c r="E17" s="11" t="n">
        <f aca="false">Medias!E8</f>
        <v>6054.66666666667</v>
      </c>
    </row>
    <row r="18" customFormat="false" ht="12.8" hidden="false" customHeight="false" outlineLevel="0" collapsed="false">
      <c r="B18" s="12"/>
      <c r="C18" s="12"/>
      <c r="D18" s="12"/>
      <c r="E18" s="12"/>
    </row>
    <row r="19" customFormat="false" ht="12.8" hidden="false" customHeight="false" outlineLevel="0" collapsed="false">
      <c r="B19" s="13" t="s">
        <v>0</v>
      </c>
      <c r="C19" s="13"/>
      <c r="D19" s="2" t="s">
        <v>8</v>
      </c>
      <c r="E19" s="2"/>
    </row>
    <row r="20" customFormat="false" ht="12.8" hidden="false" customHeight="false" outlineLevel="0" collapsed="false">
      <c r="B20" s="3" t="s">
        <v>1</v>
      </c>
      <c r="C20" s="4" t="s">
        <v>2</v>
      </c>
      <c r="D20" s="5" t="s">
        <v>3</v>
      </c>
      <c r="E20" s="6" t="s">
        <v>4</v>
      </c>
      <c r="F20" s="7"/>
    </row>
    <row r="21" customFormat="false" ht="12.8" hidden="false" customHeight="false" outlineLevel="0" collapsed="false">
      <c r="B21" s="8" t="s">
        <v>5</v>
      </c>
      <c r="C21" s="9" t="n">
        <f aca="false">Medias!C3</f>
        <v>3961715.66666667</v>
      </c>
      <c r="D21" s="10" t="n">
        <f aca="false">Medias!D3</f>
        <v>2006573.33333333</v>
      </c>
      <c r="E21" s="11" t="n">
        <f aca="false">Medias!E3</f>
        <v>336242.666666667</v>
      </c>
    </row>
    <row r="22" customFormat="false" ht="12.8" hidden="false" customHeight="false" outlineLevel="0" collapsed="false">
      <c r="B22" s="8" t="s">
        <v>6</v>
      </c>
      <c r="C22" s="9" t="n">
        <f aca="false">Medias!C6</f>
        <v>594.333333333333</v>
      </c>
      <c r="D22" s="10" t="n">
        <f aca="false">Medias!D6</f>
        <v>37343.6666666667</v>
      </c>
      <c r="E22" s="11" t="n">
        <f aca="false">Medias!E6</f>
        <v>1008560</v>
      </c>
    </row>
    <row r="23" customFormat="false" ht="12.8" hidden="false" customHeight="false" outlineLevel="0" collapsed="false">
      <c r="B23" s="8" t="s">
        <v>7</v>
      </c>
      <c r="C23" s="9" t="n">
        <f aca="false">Medias!C9</f>
        <v>1556886.66666667</v>
      </c>
      <c r="D23" s="10" t="n">
        <f aca="false">Medias!D9</f>
        <v>94084.3333333333</v>
      </c>
      <c r="E23" s="11" t="n">
        <f aca="false">Medias!E9</f>
        <v>262292</v>
      </c>
    </row>
    <row r="24" customFormat="false" ht="12.8" hidden="false" customHeight="false" outlineLevel="0" collapsed="false">
      <c r="B24" s="12"/>
      <c r="C24" s="14"/>
      <c r="D24" s="12"/>
      <c r="E24" s="12"/>
    </row>
    <row r="25" customFormat="false" ht="12.8" hidden="false" customHeight="false" outlineLevel="0" collapsed="false">
      <c r="B25" s="13" t="s">
        <v>0</v>
      </c>
      <c r="C25" s="13"/>
      <c r="D25" s="2" t="s">
        <v>9</v>
      </c>
      <c r="E25" s="2"/>
    </row>
    <row r="26" customFormat="false" ht="14.9" hidden="false" customHeight="true" outlineLevel="0" collapsed="false">
      <c r="B26" s="3" t="s">
        <v>1</v>
      </c>
      <c r="C26" s="4" t="s">
        <v>2</v>
      </c>
      <c r="D26" s="5" t="s">
        <v>3</v>
      </c>
      <c r="E26" s="6" t="s">
        <v>4</v>
      </c>
      <c r="F26" s="7"/>
    </row>
    <row r="27" customFormat="false" ht="12.8" hidden="false" customHeight="false" outlineLevel="0" collapsed="false">
      <c r="B27" s="8" t="s">
        <v>5</v>
      </c>
      <c r="C27" s="9" t="n">
        <f aca="false">Medias!C4</f>
        <v>45434194</v>
      </c>
      <c r="D27" s="10" t="n">
        <f aca="false">Medias!D4</f>
        <v>16939893</v>
      </c>
      <c r="E27" s="11" t="n">
        <f aca="false">Medias!E4</f>
        <v>790427.333333333</v>
      </c>
    </row>
    <row r="28" customFormat="false" ht="12.8" hidden="false" customHeight="false" outlineLevel="0" collapsed="false">
      <c r="B28" s="8" t="s">
        <v>6</v>
      </c>
      <c r="C28" s="9" t="n">
        <f aca="false">Medias!C7</f>
        <v>2845.33333333333</v>
      </c>
      <c r="D28" s="10" t="n">
        <f aca="false">Medias!D7</f>
        <v>39608</v>
      </c>
      <c r="E28" s="11" t="n">
        <f aca="false">Medias!E7</f>
        <v>37459979.6666667</v>
      </c>
    </row>
    <row r="29" customFormat="false" ht="12.8" hidden="false" customHeight="false" outlineLevel="0" collapsed="false">
      <c r="B29" s="8" t="s">
        <v>7</v>
      </c>
      <c r="C29" s="9" t="n">
        <f aca="false">Medias!C10</f>
        <v>40997974.6666667</v>
      </c>
      <c r="D29" s="10" t="n">
        <f aca="false">Medias!D10</f>
        <v>8983235</v>
      </c>
      <c r="E29" s="11" t="n">
        <f aca="false">Medias!E10</f>
        <v>25681377.3333333</v>
      </c>
    </row>
  </sheetData>
  <mergeCells count="6">
    <mergeCell ref="B13:C13"/>
    <mergeCell ref="D13:E13"/>
    <mergeCell ref="B19:C19"/>
    <mergeCell ref="D19:E19"/>
    <mergeCell ref="B25:C25"/>
    <mergeCell ref="D25:E2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4" activeCellId="0" sqref="C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0" width="10.11"/>
  </cols>
  <sheetData>
    <row r="1" customFormat="false" ht="12.8" hidden="false" customHeight="false" outlineLevel="0" collapsed="false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</row>
    <row r="2" customFormat="false" ht="12.8" hidden="false" customHeight="false" outlineLevel="0" collapsed="false">
      <c r="A2" s="0" t="s">
        <v>5</v>
      </c>
      <c r="B2" s="0" t="n">
        <v>100</v>
      </c>
      <c r="C2" s="15" t="n">
        <f aca="false">AVERAGE(resultados_tempos_2!C2,resultados_tempos_3!C2,resultados_tempos_4!C2)</f>
        <v>197579.666666667</v>
      </c>
      <c r="D2" s="15" t="n">
        <f aca="false">AVERAGE(resultados_tempos_2!D2,resultados_tempos_3!D2,resultados_tempos_4!D2)</f>
        <v>66599.6666666667</v>
      </c>
      <c r="E2" s="15" t="n">
        <f aca="false">AVERAGE(resultados_tempos_2!E2,resultados_tempos_3!E2,resultados_tempos_4!E2)</f>
        <v>36231.6666666667</v>
      </c>
    </row>
    <row r="3" customFormat="false" ht="12.8" hidden="false" customHeight="false" outlineLevel="0" collapsed="false">
      <c r="A3" s="0" t="s">
        <v>5</v>
      </c>
      <c r="B3" s="0" t="n">
        <v>1000</v>
      </c>
      <c r="C3" s="15" t="n">
        <f aca="false">AVERAGE(resultados_tempos_2!C3,resultados_tempos_3!C3,resultados_tempos_4!C3)</f>
        <v>3961715.66666667</v>
      </c>
      <c r="D3" s="15" t="n">
        <f aca="false">AVERAGE(resultados_tempos_2!D3,resultados_tempos_3!D3,resultados_tempos_4!D3)</f>
        <v>2006573.33333333</v>
      </c>
      <c r="E3" s="15" t="n">
        <f aca="false">AVERAGE(resultados_tempos_2!E3,resultados_tempos_3!E3,resultados_tempos_4!E3)</f>
        <v>336242.666666667</v>
      </c>
    </row>
    <row r="4" customFormat="false" ht="12.8" hidden="false" customHeight="false" outlineLevel="0" collapsed="false">
      <c r="A4" s="0" t="s">
        <v>5</v>
      </c>
      <c r="B4" s="0" t="n">
        <v>10000</v>
      </c>
      <c r="C4" s="15" t="n">
        <f aca="false">AVERAGE(resultados_tempos_2!C4,resultados_tempos_3!C4,resultados_tempos_4!C4)</f>
        <v>45434194</v>
      </c>
      <c r="D4" s="15" t="n">
        <f aca="false">AVERAGE(resultados_tempos_2!D4,resultados_tempos_3!D4,resultados_tempos_4!D4)</f>
        <v>16939893</v>
      </c>
      <c r="E4" s="15" t="n">
        <f aca="false">AVERAGE(resultados_tempos_2!E4,resultados_tempos_3!E4,resultados_tempos_4!E4)</f>
        <v>790427.333333333</v>
      </c>
    </row>
    <row r="5" customFormat="false" ht="12.8" hidden="false" customHeight="false" outlineLevel="0" collapsed="false">
      <c r="A5" s="0" t="s">
        <v>6</v>
      </c>
      <c r="B5" s="0" t="n">
        <v>100</v>
      </c>
      <c r="C5" s="15" t="n">
        <f aca="false">AVERAGE(resultados_tempos_2!C5,resultados_tempos_3!C5,resultados_tempos_4!C5)</f>
        <v>1005.66666666667</v>
      </c>
      <c r="D5" s="15" t="n">
        <f aca="false">AVERAGE(resultados_tempos_2!D5,resultados_tempos_3!D5,resultados_tempos_4!D5)</f>
        <v>14257.3333333333</v>
      </c>
      <c r="E5" s="15" t="n">
        <f aca="false">AVERAGE(resultados_tempos_2!E5,resultados_tempos_3!E5,resultados_tempos_4!E5)</f>
        <v>17967</v>
      </c>
    </row>
    <row r="6" customFormat="false" ht="12.8" hidden="false" customHeight="false" outlineLevel="0" collapsed="false">
      <c r="A6" s="0" t="s">
        <v>6</v>
      </c>
      <c r="B6" s="0" t="n">
        <v>1000</v>
      </c>
      <c r="C6" s="15" t="n">
        <f aca="false">AVERAGE(resultados_tempos_2!C6,resultados_tempos_3!C6,resultados_tempos_4!C6)</f>
        <v>594.333333333333</v>
      </c>
      <c r="D6" s="15" t="n">
        <f aca="false">AVERAGE(resultados_tempos_2!D6,resultados_tempos_3!D6,resultados_tempos_4!D6)</f>
        <v>37343.6666666667</v>
      </c>
      <c r="E6" s="15" t="n">
        <f aca="false">AVERAGE(resultados_tempos_2!E6,resultados_tempos_3!E6,resultados_tempos_4!E6)</f>
        <v>1008560</v>
      </c>
    </row>
    <row r="7" customFormat="false" ht="12.8" hidden="false" customHeight="false" outlineLevel="0" collapsed="false">
      <c r="A7" s="0" t="s">
        <v>6</v>
      </c>
      <c r="B7" s="0" t="n">
        <v>10000</v>
      </c>
      <c r="C7" s="15" t="n">
        <f aca="false">AVERAGE(resultados_tempos_2!C7,resultados_tempos_3!C7,resultados_tempos_4!C7)</f>
        <v>2845.33333333333</v>
      </c>
      <c r="D7" s="15" t="n">
        <f aca="false">AVERAGE(resultados_tempos_2!D7,resultados_tempos_3!D7,resultados_tempos_4!D7)</f>
        <v>39608</v>
      </c>
      <c r="E7" s="15" t="n">
        <f aca="false">AVERAGE(resultados_tempos_2!E7,resultados_tempos_3!E7,resultados_tempos_4!E7)</f>
        <v>37459979.6666667</v>
      </c>
    </row>
    <row r="8" customFormat="false" ht="12.8" hidden="false" customHeight="false" outlineLevel="0" collapsed="false">
      <c r="A8" s="0" t="s">
        <v>7</v>
      </c>
      <c r="B8" s="0" t="n">
        <v>100</v>
      </c>
      <c r="C8" s="15" t="n">
        <f aca="false">AVERAGE(resultados_tempos_2!C8,resultados_tempos_3!C8,resultados_tempos_4!C8)</f>
        <v>16975.3333333333</v>
      </c>
      <c r="D8" s="15" t="n">
        <f aca="false">AVERAGE(resultados_tempos_2!D8,resultados_tempos_3!D8,resultados_tempos_4!D8)</f>
        <v>2761.66666666667</v>
      </c>
      <c r="E8" s="15" t="n">
        <f aca="false">AVERAGE(resultados_tempos_2!E8,resultados_tempos_3!E8,resultados_tempos_4!E8)</f>
        <v>6054.66666666667</v>
      </c>
    </row>
    <row r="9" customFormat="false" ht="12.8" hidden="false" customHeight="false" outlineLevel="0" collapsed="false">
      <c r="A9" s="0" t="s">
        <v>7</v>
      </c>
      <c r="B9" s="0" t="n">
        <v>1000</v>
      </c>
      <c r="C9" s="15" t="n">
        <f aca="false">AVERAGE(resultados_tempos_2!C9,resultados_tempos_3!C9,resultados_tempos_4!C9)</f>
        <v>1556886.66666667</v>
      </c>
      <c r="D9" s="15" t="n">
        <f aca="false">AVERAGE(resultados_tempos_2!D9,resultados_tempos_3!D9,resultados_tempos_4!D9)</f>
        <v>94084.3333333333</v>
      </c>
      <c r="E9" s="15" t="n">
        <f aca="false">AVERAGE(resultados_tempos_2!E9,resultados_tempos_3!E9,resultados_tempos_4!E9)</f>
        <v>262292</v>
      </c>
    </row>
    <row r="10" customFormat="false" ht="12.8" hidden="false" customHeight="false" outlineLevel="0" collapsed="false">
      <c r="A10" s="0" t="s">
        <v>7</v>
      </c>
      <c r="B10" s="0" t="n">
        <v>10000</v>
      </c>
      <c r="C10" s="15" t="n">
        <f aca="false">AVERAGE(resultados_tempos_2!C10,resultados_tempos_3!C10,resultados_tempos_4!C10)</f>
        <v>40997974.6666667</v>
      </c>
      <c r="D10" s="15" t="n">
        <f aca="false">AVERAGE(resultados_tempos_2!D10,resultados_tempos_3!D10,resultados_tempos_4!D10)</f>
        <v>8983235</v>
      </c>
      <c r="E10" s="15" t="n">
        <f aca="false">AVERAGE(resultados_tempos_2!E10,resultados_tempos_3!E10,resultados_tempos_4!E10)</f>
        <v>25681377.3333333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E10" activeCellId="0" sqref="E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1"/>
    <col collapsed="false" customWidth="true" hidden="false" outlineLevel="0" max="2" min="2" style="0" width="8.27"/>
    <col collapsed="false" customWidth="true" hidden="false" outlineLevel="0" max="3" min="3" style="0" width="10.02"/>
    <col collapsed="false" customWidth="true" hidden="false" outlineLevel="0" max="5" min="5" style="0" width="9.08"/>
  </cols>
  <sheetData>
    <row r="1" customFormat="false" ht="12.8" hidden="false" customHeight="false" outlineLevel="0" collapsed="false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</row>
    <row r="2" customFormat="false" ht="12.8" hidden="false" customHeight="false" outlineLevel="0" collapsed="false">
      <c r="A2" s="0" t="s">
        <v>5</v>
      </c>
      <c r="B2" s="0" t="n">
        <v>100</v>
      </c>
      <c r="C2" s="0" t="n">
        <v>190359</v>
      </c>
      <c r="D2" s="0" t="n">
        <v>65524</v>
      </c>
      <c r="E2" s="0" t="n">
        <v>44173</v>
      </c>
    </row>
    <row r="3" customFormat="false" ht="12.8" hidden="false" customHeight="false" outlineLevel="0" collapsed="false">
      <c r="A3" s="0" t="s">
        <v>5</v>
      </c>
      <c r="B3" s="0" t="n">
        <v>1000</v>
      </c>
      <c r="C3" s="0" t="n">
        <v>4434002</v>
      </c>
      <c r="D3" s="0" t="n">
        <v>2073530</v>
      </c>
      <c r="E3" s="0" t="n">
        <v>392292</v>
      </c>
    </row>
    <row r="4" customFormat="false" ht="12.8" hidden="false" customHeight="false" outlineLevel="0" collapsed="false">
      <c r="A4" s="0" t="s">
        <v>5</v>
      </c>
      <c r="B4" s="0" t="n">
        <v>10000</v>
      </c>
      <c r="C4" s="0" t="n">
        <v>41227837</v>
      </c>
      <c r="D4" s="0" t="n">
        <v>17152756</v>
      </c>
      <c r="E4" s="0" t="n">
        <v>788941</v>
      </c>
    </row>
    <row r="5" customFormat="false" ht="12.8" hidden="false" customHeight="false" outlineLevel="0" collapsed="false">
      <c r="A5" s="0" t="s">
        <v>6</v>
      </c>
      <c r="B5" s="0" t="n">
        <v>100</v>
      </c>
      <c r="C5" s="0" t="n">
        <v>882</v>
      </c>
      <c r="D5" s="0" t="n">
        <v>16041</v>
      </c>
      <c r="E5" s="0" t="n">
        <v>18184</v>
      </c>
    </row>
    <row r="6" customFormat="false" ht="12.8" hidden="false" customHeight="false" outlineLevel="0" collapsed="false">
      <c r="A6" s="0" t="s">
        <v>6</v>
      </c>
      <c r="B6" s="0" t="n">
        <v>1000</v>
      </c>
      <c r="C6" s="0" t="n">
        <v>952</v>
      </c>
      <c r="D6" s="0" t="n">
        <v>40617</v>
      </c>
      <c r="E6" s="0" t="n">
        <v>980814</v>
      </c>
    </row>
    <row r="7" customFormat="false" ht="12.8" hidden="false" customHeight="false" outlineLevel="0" collapsed="false">
      <c r="A7" s="0" t="s">
        <v>6</v>
      </c>
      <c r="B7" s="0" t="n">
        <v>10000</v>
      </c>
      <c r="C7" s="0" t="n">
        <v>3056</v>
      </c>
      <c r="D7" s="0" t="n">
        <v>40577</v>
      </c>
      <c r="E7" s="0" t="n">
        <v>34175846</v>
      </c>
    </row>
    <row r="8" customFormat="false" ht="12.8" hidden="false" customHeight="false" outlineLevel="0" collapsed="false">
      <c r="A8" s="0" t="s">
        <v>7</v>
      </c>
      <c r="B8" s="0" t="n">
        <v>100</v>
      </c>
      <c r="C8" s="0" t="n">
        <v>15429</v>
      </c>
      <c r="D8" s="0" t="n">
        <v>2615</v>
      </c>
      <c r="E8" s="0" t="n">
        <v>5851</v>
      </c>
    </row>
    <row r="9" customFormat="false" ht="12.8" hidden="false" customHeight="false" outlineLevel="0" collapsed="false">
      <c r="A9" s="0" t="s">
        <v>7</v>
      </c>
      <c r="B9" s="0" t="n">
        <v>1000</v>
      </c>
      <c r="C9" s="0" t="n">
        <v>1713660</v>
      </c>
      <c r="D9" s="0" t="n">
        <v>94028</v>
      </c>
      <c r="E9" s="0" t="n">
        <v>257897</v>
      </c>
    </row>
    <row r="10" customFormat="false" ht="12.8" hidden="false" customHeight="false" outlineLevel="0" collapsed="false">
      <c r="A10" s="0" t="s">
        <v>7</v>
      </c>
      <c r="B10" s="0" t="n">
        <v>10000</v>
      </c>
      <c r="C10" s="0" t="n">
        <v>39613876</v>
      </c>
      <c r="D10" s="0" t="n">
        <v>8834260</v>
      </c>
      <c r="E10" s="0" t="n">
        <v>26300498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1"/>
    <col collapsed="false" customWidth="true" hidden="false" outlineLevel="0" max="2" min="2" style="0" width="8.27"/>
    <col collapsed="false" customWidth="true" hidden="false" outlineLevel="0" max="3" min="3" style="0" width="10.02"/>
    <col collapsed="false" customWidth="true" hidden="false" outlineLevel="0" max="5" min="5" style="0" width="9.08"/>
  </cols>
  <sheetData>
    <row r="1" customFormat="false" ht="12.8" hidden="false" customHeight="false" outlineLevel="0" collapsed="false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</row>
    <row r="2" customFormat="false" ht="12.8" hidden="false" customHeight="false" outlineLevel="0" collapsed="false">
      <c r="A2" s="0" t="s">
        <v>5</v>
      </c>
      <c r="B2" s="0" t="n">
        <v>100</v>
      </c>
      <c r="C2" s="0" t="n">
        <v>203394</v>
      </c>
      <c r="D2" s="0" t="n">
        <v>67959</v>
      </c>
      <c r="E2" s="0" t="n">
        <v>33103</v>
      </c>
    </row>
    <row r="3" customFormat="false" ht="12.8" hidden="false" customHeight="false" outlineLevel="0" collapsed="false">
      <c r="A3" s="0" t="s">
        <v>5</v>
      </c>
      <c r="B3" s="0" t="n">
        <v>1000</v>
      </c>
      <c r="C3" s="0" t="n">
        <v>3708690</v>
      </c>
      <c r="D3" s="0" t="n">
        <v>1836121</v>
      </c>
      <c r="E3" s="0" t="n">
        <v>306740</v>
      </c>
    </row>
    <row r="4" customFormat="false" ht="12.8" hidden="false" customHeight="false" outlineLevel="0" collapsed="false">
      <c r="A4" s="0" t="s">
        <v>5</v>
      </c>
      <c r="B4" s="0" t="n">
        <v>10000</v>
      </c>
      <c r="C4" s="0" t="n">
        <v>50561629</v>
      </c>
      <c r="D4" s="0" t="n">
        <v>16819455</v>
      </c>
      <c r="E4" s="0" t="n">
        <v>789903</v>
      </c>
    </row>
    <row r="5" customFormat="false" ht="12.8" hidden="false" customHeight="false" outlineLevel="0" collapsed="false">
      <c r="A5" s="0" t="s">
        <v>6</v>
      </c>
      <c r="B5" s="0" t="n">
        <v>100</v>
      </c>
      <c r="C5" s="0" t="n">
        <v>1403</v>
      </c>
      <c r="D5" s="0" t="n">
        <v>13125</v>
      </c>
      <c r="E5" s="0" t="n">
        <v>18024</v>
      </c>
    </row>
    <row r="6" customFormat="false" ht="12.8" hidden="false" customHeight="false" outlineLevel="0" collapsed="false">
      <c r="A6" s="0" t="s">
        <v>6</v>
      </c>
      <c r="B6" s="0" t="n">
        <v>1000</v>
      </c>
      <c r="C6" s="0" t="n">
        <v>390</v>
      </c>
      <c r="D6" s="0" t="n">
        <v>36889</v>
      </c>
      <c r="E6" s="0" t="n">
        <v>1020459</v>
      </c>
    </row>
    <row r="7" customFormat="false" ht="12.8" hidden="false" customHeight="false" outlineLevel="0" collapsed="false">
      <c r="A7" s="0" t="s">
        <v>6</v>
      </c>
      <c r="B7" s="0" t="n">
        <v>10000</v>
      </c>
      <c r="C7" s="0" t="n">
        <v>2444</v>
      </c>
      <c r="D7" s="0" t="n">
        <v>40336</v>
      </c>
      <c r="E7" s="0" t="n">
        <v>39243043</v>
      </c>
    </row>
    <row r="8" customFormat="false" ht="12.8" hidden="false" customHeight="false" outlineLevel="0" collapsed="false">
      <c r="A8" s="0" t="s">
        <v>7</v>
      </c>
      <c r="B8" s="0" t="n">
        <v>100</v>
      </c>
      <c r="C8" s="0" t="n">
        <v>18645</v>
      </c>
      <c r="D8" s="0" t="n">
        <v>2444</v>
      </c>
      <c r="E8" s="0" t="n">
        <v>5801</v>
      </c>
    </row>
    <row r="9" customFormat="false" ht="12.8" hidden="false" customHeight="false" outlineLevel="0" collapsed="false">
      <c r="A9" s="0" t="s">
        <v>7</v>
      </c>
      <c r="B9" s="0" t="n">
        <v>1000</v>
      </c>
      <c r="C9" s="0" t="n">
        <v>512579</v>
      </c>
      <c r="D9" s="0" t="n">
        <v>94138</v>
      </c>
      <c r="E9" s="0" t="n">
        <v>270571</v>
      </c>
    </row>
    <row r="10" customFormat="false" ht="12.8" hidden="false" customHeight="false" outlineLevel="0" collapsed="false">
      <c r="A10" s="0" t="s">
        <v>7</v>
      </c>
      <c r="B10" s="0" t="n">
        <v>10000</v>
      </c>
      <c r="C10" s="0" t="n">
        <v>43466507</v>
      </c>
      <c r="D10" s="0" t="n">
        <v>9501512</v>
      </c>
      <c r="E10" s="0" t="n">
        <v>25378845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1"/>
    <col collapsed="false" customWidth="true" hidden="false" outlineLevel="0" max="2" min="2" style="0" width="8.27"/>
    <col collapsed="false" customWidth="true" hidden="false" outlineLevel="0" max="3" min="3" style="0" width="10.02"/>
    <col collapsed="false" customWidth="true" hidden="false" outlineLevel="0" max="5" min="5" style="0" width="9.08"/>
  </cols>
  <sheetData>
    <row r="1" customFormat="false" ht="12.8" hidden="false" customHeight="false" outlineLevel="0" collapsed="false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</row>
    <row r="2" customFormat="false" ht="12.8" hidden="false" customHeight="false" outlineLevel="0" collapsed="false">
      <c r="A2" s="0" t="s">
        <v>5</v>
      </c>
      <c r="B2" s="0" t="n">
        <v>100</v>
      </c>
      <c r="C2" s="0" t="n">
        <v>198986</v>
      </c>
      <c r="D2" s="0" t="n">
        <v>66316</v>
      </c>
      <c r="E2" s="0" t="n">
        <v>31419</v>
      </c>
    </row>
    <row r="3" customFormat="false" ht="12.8" hidden="false" customHeight="false" outlineLevel="0" collapsed="false">
      <c r="A3" s="0" t="s">
        <v>5</v>
      </c>
      <c r="B3" s="0" t="n">
        <v>1000</v>
      </c>
      <c r="C3" s="0" t="n">
        <v>3742455</v>
      </c>
      <c r="D3" s="0" t="n">
        <v>2110069</v>
      </c>
      <c r="E3" s="0" t="n">
        <v>309696</v>
      </c>
    </row>
    <row r="4" customFormat="false" ht="12.8" hidden="false" customHeight="false" outlineLevel="0" collapsed="false">
      <c r="A4" s="0" t="s">
        <v>5</v>
      </c>
      <c r="B4" s="0" t="n">
        <v>10000</v>
      </c>
      <c r="C4" s="0" t="n">
        <v>44513116</v>
      </c>
      <c r="D4" s="0" t="n">
        <v>16847468</v>
      </c>
      <c r="E4" s="0" t="n">
        <v>792438</v>
      </c>
    </row>
    <row r="5" customFormat="false" ht="12.8" hidden="false" customHeight="false" outlineLevel="0" collapsed="false">
      <c r="A5" s="0" t="s">
        <v>6</v>
      </c>
      <c r="B5" s="0" t="n">
        <v>100</v>
      </c>
      <c r="C5" s="0" t="n">
        <v>732</v>
      </c>
      <c r="D5" s="0" t="n">
        <v>13606</v>
      </c>
      <c r="E5" s="0" t="n">
        <v>17693</v>
      </c>
    </row>
    <row r="6" customFormat="false" ht="12.8" hidden="false" customHeight="false" outlineLevel="0" collapsed="false">
      <c r="A6" s="0" t="s">
        <v>6</v>
      </c>
      <c r="B6" s="0" t="n">
        <v>1000</v>
      </c>
      <c r="C6" s="0" t="n">
        <v>441</v>
      </c>
      <c r="D6" s="0" t="n">
        <v>34525</v>
      </c>
      <c r="E6" s="0" t="n">
        <v>1024407</v>
      </c>
    </row>
    <row r="7" customFormat="false" ht="12.8" hidden="false" customHeight="false" outlineLevel="0" collapsed="false">
      <c r="A7" s="0" t="s">
        <v>6</v>
      </c>
      <c r="B7" s="0" t="n">
        <v>10000</v>
      </c>
      <c r="C7" s="0" t="n">
        <v>3036</v>
      </c>
      <c r="D7" s="0" t="n">
        <v>37911</v>
      </c>
      <c r="E7" s="0" t="n">
        <v>38961050</v>
      </c>
    </row>
    <row r="8" customFormat="false" ht="12.8" hidden="false" customHeight="false" outlineLevel="0" collapsed="false">
      <c r="A8" s="0" t="s">
        <v>7</v>
      </c>
      <c r="B8" s="0" t="n">
        <v>100</v>
      </c>
      <c r="C8" s="0" t="n">
        <v>16852</v>
      </c>
      <c r="D8" s="0" t="n">
        <v>3226</v>
      </c>
      <c r="E8" s="0" t="n">
        <v>6512</v>
      </c>
    </row>
    <row r="9" customFormat="false" ht="12.8" hidden="false" customHeight="false" outlineLevel="0" collapsed="false">
      <c r="A9" s="0" t="s">
        <v>7</v>
      </c>
      <c r="B9" s="0" t="n">
        <v>1000</v>
      </c>
      <c r="C9" s="0" t="n">
        <v>2444421</v>
      </c>
      <c r="D9" s="0" t="n">
        <v>94087</v>
      </c>
      <c r="E9" s="0" t="n">
        <v>258408</v>
      </c>
    </row>
    <row r="10" customFormat="false" ht="12.8" hidden="false" customHeight="false" outlineLevel="0" collapsed="false">
      <c r="A10" s="0" t="s">
        <v>7</v>
      </c>
      <c r="B10" s="0" t="n">
        <v>10000</v>
      </c>
      <c r="C10" s="0" t="n">
        <v>39913541</v>
      </c>
      <c r="D10" s="0" t="n">
        <v>8613933</v>
      </c>
      <c r="E10" s="0" t="n">
        <v>25364789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2025-11-14T14:29:42Z</dcterms:modified>
  <cp:revision>2</cp:revision>
  <dc:subject/>
  <dc:title/>
</cp:coreProperties>
</file>